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<sst xmlns="http://schemas.openxmlformats.org/spreadsheetml/2006/main" count="136" uniqueCount="28">
  <si>
    <t>Año 0</t>
  </si>
  <si>
    <t>Año 1</t>
  </si>
  <si>
    <t>Año 2</t>
  </si>
  <si>
    <t>Año 3</t>
  </si>
  <si>
    <t>Año 4</t>
  </si>
  <si>
    <t>Año 5</t>
  </si>
  <si>
    <t>Ingresos operacionales</t>
  </si>
  <si>
    <t>+</t>
  </si>
  <si>
    <t>M</t>
  </si>
  <si>
    <t>Gastos Operacionales</t>
  </si>
  <si>
    <t>Remuneraciones</t>
  </si>
  <si>
    <t>-</t>
  </si>
  <si>
    <t>Mantención base de datos</t>
  </si>
  <si>
    <t>Telefonía e internet</t>
  </si>
  <si>
    <t>Electricidad</t>
  </si>
  <si>
    <t>Agua</t>
  </si>
  <si>
    <t>Arriendo</t>
  </si>
  <si>
    <t>Publicidad</t>
  </si>
  <si>
    <t>Utilidad Operacional</t>
  </si>
  <si>
    <t>=</t>
  </si>
  <si>
    <t xml:space="preserve">Depreciación </t>
  </si>
  <si>
    <t>Utilidad antes de impuesto</t>
  </si>
  <si>
    <t>Impuesto 27%</t>
  </si>
  <si>
    <t>Utilidad después de impuesto</t>
  </si>
  <si>
    <t>Depreciación</t>
  </si>
  <si>
    <t>Inversión</t>
  </si>
  <si>
    <t>Flujo de caja neto</t>
  </si>
  <si>
    <t>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</si>
</sst>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FF0000"/>
      <name val="Arial"/>
    </font>
    <font>
      <color rgb="FFFF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 readingOrder="0" shrinkToFit="0" wrapText="1"/>
    </xf>
    <xf quotePrefix="1" borderId="0" fillId="0" fontId="4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right" readingOrder="0"/>
    </xf>
    <xf borderId="0" fillId="0" fontId="4" numFmtId="3" xfId="0" applyAlignment="1" applyFont="1" applyNumberFormat="1">
      <alignment horizontal="right" readingOrder="0" shrinkToFit="0" wrapText="1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right" readingOrder="0"/>
    </xf>
    <xf borderId="0" fillId="0" fontId="5" numFmtId="4" xfId="0" applyAlignment="1" applyFont="1" applyNumberFormat="1">
      <alignment horizontal="right" readingOrder="0" shrinkToFit="0" wrapText="1"/>
    </xf>
    <xf borderId="0" fillId="0" fontId="6" numFmtId="0" xfId="0" applyFont="1"/>
    <xf borderId="0" fillId="0" fontId="6" numFmtId="0" xfId="0" applyAlignment="1" applyFont="1">
      <alignment horizontal="right"/>
    </xf>
    <xf borderId="0" fillId="2" fontId="5" numFmtId="4" xfId="0" applyAlignment="1" applyFill="1" applyFont="1" applyNumberFormat="1">
      <alignment horizontal="right" readingOrder="0" shrinkToFit="0" wrapText="1"/>
    </xf>
    <xf borderId="1" fillId="0" fontId="5" numFmtId="0" xfId="0" applyAlignment="1" applyBorder="1" applyFont="1">
      <alignment horizontal="right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right" readingOrder="0"/>
    </xf>
    <xf borderId="1" fillId="0" fontId="5" numFmtId="4" xfId="0" applyAlignment="1" applyBorder="1" applyFont="1" applyNumberFormat="1">
      <alignment horizontal="right" readingOrder="0" shrinkToFit="0" wrapText="1"/>
    </xf>
    <xf borderId="2" fillId="0" fontId="4" numFmtId="0" xfId="0" applyAlignment="1" applyBorder="1" applyFont="1">
      <alignment horizontal="right" readingOrder="0" shrinkToFit="0" wrapText="1"/>
    </xf>
    <xf quotePrefix="1" borderId="2" fillId="0" fontId="4" numFmtId="0" xfId="0" applyAlignment="1" applyBorder="1" applyFont="1">
      <alignment horizontal="center" readingOrder="0" shrinkToFit="0" wrapText="1"/>
    </xf>
    <xf borderId="2" fillId="0" fontId="4" numFmtId="4" xfId="0" applyAlignment="1" applyBorder="1" applyFont="1" applyNumberFormat="1">
      <alignment horizontal="right" readingOrder="0" shrinkToFit="0" wrapText="1"/>
    </xf>
    <xf borderId="0" fillId="0" fontId="4" numFmtId="4" xfId="0" applyAlignment="1" applyFont="1" applyNumberFormat="1">
      <alignment horizontal="right" readingOrder="0" shrinkToFit="0" wrapText="1"/>
    </xf>
    <xf quotePrefix="1" borderId="1" fillId="0" fontId="5" numFmtId="0" xfId="0" applyAlignment="1" applyBorder="1" applyFont="1">
      <alignment horizontal="center" readingOrder="0" shrinkToFit="0" wrapText="1"/>
    </xf>
    <xf borderId="1" fillId="0" fontId="5" numFmtId="3" xfId="0" applyAlignment="1" applyBorder="1" applyFont="1" applyNumberFormat="1">
      <alignment horizontal="right" readingOrder="0" shrinkToFit="0" wrapText="1"/>
    </xf>
    <xf borderId="1" fillId="0" fontId="6" numFmtId="4" xfId="0" applyAlignment="1" applyBorder="1" applyFont="1" applyNumberFormat="1">
      <alignment horizontal="right" readingOrder="0" shrinkToFit="0" vertical="top" wrapText="1"/>
    </xf>
    <xf borderId="2" fillId="0" fontId="5" numFmtId="3" xfId="0" applyAlignment="1" applyBorder="1" applyFont="1" applyNumberFormat="1">
      <alignment horizontal="right" readingOrder="0" shrinkToFit="0" wrapText="1"/>
    </xf>
    <xf borderId="3" fillId="0" fontId="7" numFmtId="0" xfId="0" applyAlignment="1" applyBorder="1" applyFont="1">
      <alignment horizontal="right" readingOrder="0"/>
    </xf>
    <xf borderId="4" fillId="0" fontId="7" numFmtId="0" xfId="0" applyAlignment="1" applyBorder="1" applyFont="1">
      <alignment horizontal="center"/>
    </xf>
    <xf borderId="3" fillId="0" fontId="7" numFmtId="4" xfId="0" applyAlignment="1" applyBorder="1" applyFont="1" applyNumberFormat="1">
      <alignment horizontal="right"/>
    </xf>
    <xf borderId="4" fillId="0" fontId="7" numFmtId="4" xfId="0" applyAlignment="1" applyBorder="1" applyFont="1" applyNumberFormat="1">
      <alignment horizontal="right"/>
    </xf>
    <xf borderId="5" fillId="0" fontId="7" numFmtId="4" xfId="0" applyAlignment="1" applyBorder="1" applyFont="1" applyNumberFormat="1">
      <alignment horizontal="right"/>
    </xf>
    <xf borderId="4" fillId="0" fontId="1" numFmtId="0" xfId="0" applyAlignment="1" applyBorder="1" applyFont="1">
      <alignment horizontal="right"/>
    </xf>
    <xf borderId="6" fillId="0" fontId="3" numFmtId="0" xfId="0" applyAlignment="1" applyBorder="1" applyFont="1">
      <alignment horizontal="right" readingOrder="0"/>
    </xf>
    <xf borderId="7" fillId="0" fontId="1" numFmtId="0" xfId="0" applyAlignment="1" applyBorder="1" applyFont="1">
      <alignment horizontal="right" readingOrder="0"/>
    </xf>
    <xf borderId="8" fillId="0" fontId="1" numFmtId="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63"/>
    <col customWidth="1" min="3" max="3" width="2.13"/>
    <col customWidth="1" min="4" max="4" width="12.63"/>
    <col customWidth="1" min="5" max="5" width="2.63"/>
    <col customWidth="1" min="6" max="6" width="12.63"/>
    <col customWidth="1" min="7" max="7" width="2.63"/>
    <col customWidth="1" min="8" max="8" width="12.63"/>
    <col customWidth="1" min="9" max="9" width="2.38"/>
    <col customWidth="1" min="10" max="10" width="12.63"/>
    <col customWidth="1" min="11" max="11" width="2.38"/>
    <col customWidth="1" min="12" max="12" width="12.63"/>
    <col customWidth="1" min="13" max="13" width="2.38"/>
    <col customWidth="1" min="14" max="14" width="12.63"/>
    <col customWidth="1" min="15" max="15" width="2.38"/>
    <col customWidth="1" min="16" max="26" width="16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/>
      <c r="C2" s="4"/>
      <c r="D2" s="5" t="s">
        <v>0</v>
      </c>
      <c r="E2" s="6"/>
      <c r="F2" s="5" t="s">
        <v>1</v>
      </c>
      <c r="G2" s="6"/>
      <c r="H2" s="5" t="s">
        <v>2</v>
      </c>
      <c r="I2" s="7"/>
      <c r="J2" s="5" t="s">
        <v>3</v>
      </c>
      <c r="K2" s="7"/>
      <c r="L2" s="5" t="s">
        <v>4</v>
      </c>
      <c r="M2" s="7"/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9" t="s">
        <v>7</v>
      </c>
      <c r="D3" s="8">
        <v>0.0</v>
      </c>
      <c r="E3" s="10" t="s">
        <v>8</v>
      </c>
      <c r="F3" s="11">
        <v>299400.0</v>
      </c>
      <c r="G3" s="10" t="s">
        <v>8</v>
      </c>
      <c r="H3" s="11">
        <v>329340.0</v>
      </c>
      <c r="J3" s="11">
        <v>359280.0</v>
      </c>
      <c r="K3" s="12" t="s">
        <v>8</v>
      </c>
      <c r="L3" s="11">
        <v>389220.0</v>
      </c>
      <c r="M3" s="10" t="s">
        <v>8</v>
      </c>
      <c r="N3" s="11">
        <v>419160.0</v>
      </c>
      <c r="O3" s="10" t="s">
        <v>8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" t="s">
        <v>9</v>
      </c>
      <c r="C4" s="14"/>
      <c r="D4" s="13"/>
      <c r="E4" s="15"/>
      <c r="F4" s="16">
        <f>F5+F6+F7+F8+F9+F10+F11</f>
        <v>-9322.178441</v>
      </c>
      <c r="G4" s="15"/>
      <c r="H4" s="16">
        <f>H5+H6+H7+H8+H9+H10+H11</f>
        <v>-10137.86905</v>
      </c>
      <c r="I4" s="17"/>
      <c r="J4" s="16">
        <f>J5+J6+J7+J8+J9+J10+J11</f>
        <v>-11024.9326</v>
      </c>
      <c r="K4" s="17"/>
      <c r="L4" s="16">
        <f>L5+L6+L7+L8+L9+L10+L11</f>
        <v>-11989.6142</v>
      </c>
      <c r="M4" s="17"/>
      <c r="N4" s="16">
        <f>N5+N6+N7+N8+N9+N10+N11</f>
        <v>-13038.70544</v>
      </c>
      <c r="O4" s="18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3" t="s">
        <v>10</v>
      </c>
      <c r="C5" s="14" t="s">
        <v>11</v>
      </c>
      <c r="D5" s="13">
        <v>0.0</v>
      </c>
      <c r="E5" s="15" t="s">
        <v>8</v>
      </c>
      <c r="F5" s="16">
        <v>-1500.0</v>
      </c>
      <c r="G5" s="15" t="s">
        <v>8</v>
      </c>
      <c r="H5" s="16">
        <f t="shared" ref="H5:H17" si="1">F5*1.0875</f>
        <v>-1631.25</v>
      </c>
      <c r="I5" s="15" t="s">
        <v>8</v>
      </c>
      <c r="J5" s="16">
        <f t="shared" ref="J5:J17" si="2">H5*1.0875</f>
        <v>-1773.984375</v>
      </c>
      <c r="K5" s="15" t="s">
        <v>8</v>
      </c>
      <c r="L5" s="16">
        <f t="shared" ref="L5:L17" si="3">J5*1.0875</f>
        <v>-1929.208008</v>
      </c>
      <c r="M5" s="15" t="s">
        <v>8</v>
      </c>
      <c r="N5" s="16">
        <f t="shared" ref="N5:N17" si="4">L5*1.0875</f>
        <v>-2098.013708</v>
      </c>
      <c r="O5" s="15" t="s">
        <v>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12</v>
      </c>
      <c r="C6" s="14" t="s">
        <v>11</v>
      </c>
      <c r="D6" s="13">
        <v>0.0</v>
      </c>
      <c r="E6" s="15" t="s">
        <v>8</v>
      </c>
      <c r="F6" s="16">
        <v>-315.36</v>
      </c>
      <c r="G6" s="15" t="s">
        <v>8</v>
      </c>
      <c r="H6" s="16">
        <f t="shared" si="1"/>
        <v>-342.954</v>
      </c>
      <c r="I6" s="15" t="s">
        <v>8</v>
      </c>
      <c r="J6" s="16">
        <f t="shared" si="2"/>
        <v>-372.962475</v>
      </c>
      <c r="K6" s="15" t="s">
        <v>8</v>
      </c>
      <c r="L6" s="16">
        <f t="shared" si="3"/>
        <v>-405.5966916</v>
      </c>
      <c r="M6" s="15" t="s">
        <v>8</v>
      </c>
      <c r="N6" s="16">
        <f t="shared" si="4"/>
        <v>-441.0864021</v>
      </c>
      <c r="O6" s="15" t="s">
        <v>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 t="s">
        <v>13</v>
      </c>
      <c r="C7" s="14" t="s">
        <v>11</v>
      </c>
      <c r="D7" s="13">
        <v>0.0</v>
      </c>
      <c r="E7" s="15" t="s">
        <v>8</v>
      </c>
      <c r="F7" s="16">
        <f>2* -1.22376</f>
        <v>-2.44752</v>
      </c>
      <c r="G7" s="15" t="s">
        <v>8</v>
      </c>
      <c r="H7" s="16">
        <f t="shared" si="1"/>
        <v>-2.661678</v>
      </c>
      <c r="I7" s="15" t="s">
        <v>8</v>
      </c>
      <c r="J7" s="16">
        <f t="shared" si="2"/>
        <v>-2.894574825</v>
      </c>
      <c r="K7" s="15" t="s">
        <v>8</v>
      </c>
      <c r="L7" s="16">
        <f t="shared" si="3"/>
        <v>-3.147850122</v>
      </c>
      <c r="M7" s="15" t="s">
        <v>8</v>
      </c>
      <c r="N7" s="16">
        <f t="shared" si="4"/>
        <v>-3.423287008</v>
      </c>
      <c r="O7" s="15" t="s">
        <v>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 t="s">
        <v>14</v>
      </c>
      <c r="C8" s="14" t="s">
        <v>11</v>
      </c>
      <c r="D8" s="13">
        <v>0.0</v>
      </c>
      <c r="E8" s="15" t="s">
        <v>8</v>
      </c>
      <c r="F8" s="16">
        <v>-3.87</v>
      </c>
      <c r="G8" s="15" t="s">
        <v>8</v>
      </c>
      <c r="H8" s="16">
        <f t="shared" si="1"/>
        <v>-4.208625</v>
      </c>
      <c r="I8" s="15" t="s">
        <v>8</v>
      </c>
      <c r="J8" s="16">
        <f t="shared" si="2"/>
        <v>-4.576879688</v>
      </c>
      <c r="K8" s="15" t="s">
        <v>8</v>
      </c>
      <c r="L8" s="16">
        <f t="shared" si="3"/>
        <v>-4.97735666</v>
      </c>
      <c r="M8" s="15" t="s">
        <v>8</v>
      </c>
      <c r="N8" s="16">
        <f t="shared" si="4"/>
        <v>-5.412875368</v>
      </c>
      <c r="O8" s="15" t="s">
        <v>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 t="s">
        <v>15</v>
      </c>
      <c r="C9" s="14" t="s">
        <v>11</v>
      </c>
      <c r="D9" s="13">
        <v>0.0</v>
      </c>
      <c r="E9" s="15" t="s">
        <v>8</v>
      </c>
      <c r="F9" s="19">
        <v>-1.314921</v>
      </c>
      <c r="G9" s="15" t="s">
        <v>8</v>
      </c>
      <c r="H9" s="16">
        <f t="shared" si="1"/>
        <v>-1.429976588</v>
      </c>
      <c r="I9" s="15" t="s">
        <v>8</v>
      </c>
      <c r="J9" s="16">
        <f t="shared" si="2"/>
        <v>-1.555099539</v>
      </c>
      <c r="K9" s="15" t="s">
        <v>8</v>
      </c>
      <c r="L9" s="16">
        <f t="shared" si="3"/>
        <v>-1.691170749</v>
      </c>
      <c r="M9" s="15" t="s">
        <v>8</v>
      </c>
      <c r="N9" s="16">
        <f t="shared" si="4"/>
        <v>-1.839148189</v>
      </c>
      <c r="O9" s="15" t="s">
        <v>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 t="s">
        <v>16</v>
      </c>
      <c r="C10" s="14" t="s">
        <v>11</v>
      </c>
      <c r="D10" s="13">
        <v>0.0</v>
      </c>
      <c r="E10" s="15" t="s">
        <v>8</v>
      </c>
      <c r="F10" s="16">
        <v>-519.77</v>
      </c>
      <c r="G10" s="15" t="s">
        <v>8</v>
      </c>
      <c r="H10" s="16">
        <f t="shared" si="1"/>
        <v>-565.249875</v>
      </c>
      <c r="I10" s="15" t="s">
        <v>8</v>
      </c>
      <c r="J10" s="16">
        <f t="shared" si="2"/>
        <v>-614.7092391</v>
      </c>
      <c r="K10" s="15" t="s">
        <v>8</v>
      </c>
      <c r="L10" s="16">
        <f t="shared" si="3"/>
        <v>-668.4962975</v>
      </c>
      <c r="M10" s="15" t="s">
        <v>8</v>
      </c>
      <c r="N10" s="16">
        <f t="shared" si="4"/>
        <v>-726.9897235</v>
      </c>
      <c r="O10" s="15" t="s">
        <v>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 t="s">
        <v>17</v>
      </c>
      <c r="C11" s="21" t="s">
        <v>11</v>
      </c>
      <c r="D11" s="20">
        <v>0.0</v>
      </c>
      <c r="E11" s="22" t="s">
        <v>8</v>
      </c>
      <c r="F11" s="23">
        <v>-6979.416</v>
      </c>
      <c r="G11" s="22" t="s">
        <v>8</v>
      </c>
      <c r="H11" s="23">
        <f t="shared" si="1"/>
        <v>-7590.1149</v>
      </c>
      <c r="I11" s="22" t="s">
        <v>8</v>
      </c>
      <c r="J11" s="23">
        <f t="shared" si="2"/>
        <v>-8254.249954</v>
      </c>
      <c r="K11" s="22" t="s">
        <v>8</v>
      </c>
      <c r="L11" s="23">
        <f t="shared" si="3"/>
        <v>-8976.496825</v>
      </c>
      <c r="M11" s="22" t="s">
        <v>8</v>
      </c>
      <c r="N11" s="23">
        <f t="shared" si="4"/>
        <v>-9761.940297</v>
      </c>
      <c r="O11" s="22" t="s">
        <v>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4" t="s">
        <v>18</v>
      </c>
      <c r="C12" s="25" t="s">
        <v>19</v>
      </c>
      <c r="D12" s="24">
        <v>0.0</v>
      </c>
      <c r="E12" s="10" t="s">
        <v>8</v>
      </c>
      <c r="F12" s="26">
        <v>290079.920519</v>
      </c>
      <c r="G12" s="10" t="s">
        <v>8</v>
      </c>
      <c r="H12" s="27">
        <f t="shared" si="1"/>
        <v>315461.9136</v>
      </c>
      <c r="I12" s="10" t="s">
        <v>8</v>
      </c>
      <c r="J12" s="27">
        <f t="shared" si="2"/>
        <v>343064.831</v>
      </c>
      <c r="K12" s="10" t="s">
        <v>8</v>
      </c>
      <c r="L12" s="27">
        <f t="shared" si="3"/>
        <v>373083.0037</v>
      </c>
      <c r="M12" s="10" t="s">
        <v>8</v>
      </c>
      <c r="N12" s="27">
        <f t="shared" si="4"/>
        <v>405727.7665</v>
      </c>
      <c r="O12" s="10" t="s">
        <v>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0" t="s">
        <v>20</v>
      </c>
      <c r="C13" s="28" t="s">
        <v>11</v>
      </c>
      <c r="D13" s="20">
        <v>0.0</v>
      </c>
      <c r="E13" s="22" t="s">
        <v>8</v>
      </c>
      <c r="F13" s="23">
        <v>-2000.0</v>
      </c>
      <c r="G13" s="22" t="s">
        <v>8</v>
      </c>
      <c r="H13" s="23">
        <f t="shared" si="1"/>
        <v>-2175</v>
      </c>
      <c r="I13" s="22" t="s">
        <v>8</v>
      </c>
      <c r="J13" s="23">
        <f t="shared" si="2"/>
        <v>-2365.3125</v>
      </c>
      <c r="K13" s="22" t="s">
        <v>8</v>
      </c>
      <c r="L13" s="23">
        <f t="shared" si="3"/>
        <v>-2572.277344</v>
      </c>
      <c r="M13" s="22" t="s">
        <v>8</v>
      </c>
      <c r="N13" s="23">
        <f t="shared" si="4"/>
        <v>-2797.351611</v>
      </c>
      <c r="O13" s="22" t="s">
        <v>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4" t="s">
        <v>21</v>
      </c>
      <c r="C14" s="25" t="s">
        <v>19</v>
      </c>
      <c r="D14" s="24">
        <v>0.0</v>
      </c>
      <c r="E14" s="10" t="s">
        <v>8</v>
      </c>
      <c r="F14" s="26">
        <v>288079.920519</v>
      </c>
      <c r="G14" s="10" t="s">
        <v>8</v>
      </c>
      <c r="H14" s="27">
        <f t="shared" si="1"/>
        <v>313286.9136</v>
      </c>
      <c r="I14" s="10" t="s">
        <v>8</v>
      </c>
      <c r="J14" s="27">
        <f t="shared" si="2"/>
        <v>340699.5185</v>
      </c>
      <c r="K14" s="10" t="s">
        <v>8</v>
      </c>
      <c r="L14" s="27">
        <f t="shared" si="3"/>
        <v>370510.7264</v>
      </c>
      <c r="M14" s="10" t="s">
        <v>8</v>
      </c>
      <c r="N14" s="27">
        <f t="shared" si="4"/>
        <v>402930.4149</v>
      </c>
      <c r="O14" s="10" t="s">
        <v>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0" t="s">
        <v>22</v>
      </c>
      <c r="C15" s="21" t="s">
        <v>11</v>
      </c>
      <c r="D15" s="20">
        <v>0.0</v>
      </c>
      <c r="E15" s="22" t="s">
        <v>8</v>
      </c>
      <c r="F15" s="23">
        <v>-77781.57854013</v>
      </c>
      <c r="G15" s="22" t="s">
        <v>8</v>
      </c>
      <c r="H15" s="23">
        <f t="shared" si="1"/>
        <v>-84587.46666</v>
      </c>
      <c r="I15" s="22" t="s">
        <v>8</v>
      </c>
      <c r="J15" s="23">
        <f t="shared" si="2"/>
        <v>-91988.87</v>
      </c>
      <c r="K15" s="22" t="s">
        <v>8</v>
      </c>
      <c r="L15" s="23">
        <f t="shared" si="3"/>
        <v>-100037.8961</v>
      </c>
      <c r="M15" s="22" t="s">
        <v>8</v>
      </c>
      <c r="N15" s="23">
        <f t="shared" si="4"/>
        <v>-108791.212</v>
      </c>
      <c r="O15" s="22" t="s">
        <v>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4" t="s">
        <v>23</v>
      </c>
      <c r="C16" s="25" t="s">
        <v>19</v>
      </c>
      <c r="D16" s="24">
        <v>0.0</v>
      </c>
      <c r="E16" s="10" t="s">
        <v>8</v>
      </c>
      <c r="F16" s="26">
        <v>210298.34197887</v>
      </c>
      <c r="G16" s="10" t="s">
        <v>8</v>
      </c>
      <c r="H16" s="27">
        <f t="shared" si="1"/>
        <v>228699.4469</v>
      </c>
      <c r="I16" s="10" t="s">
        <v>8</v>
      </c>
      <c r="J16" s="27">
        <f t="shared" si="2"/>
        <v>248710.6485</v>
      </c>
      <c r="K16" s="10" t="s">
        <v>8</v>
      </c>
      <c r="L16" s="27">
        <f t="shared" si="3"/>
        <v>270472.8303</v>
      </c>
      <c r="M16" s="10" t="s">
        <v>8</v>
      </c>
      <c r="N16" s="27">
        <f t="shared" si="4"/>
        <v>294139.2029</v>
      </c>
      <c r="O16" s="10" t="s">
        <v>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24</v>
      </c>
      <c r="C17" s="9" t="s">
        <v>7</v>
      </c>
      <c r="D17" s="8">
        <v>0.0</v>
      </c>
      <c r="E17" s="10" t="s">
        <v>8</v>
      </c>
      <c r="F17" s="27">
        <v>2000.0</v>
      </c>
      <c r="G17" s="10" t="s">
        <v>8</v>
      </c>
      <c r="H17" s="27">
        <f t="shared" si="1"/>
        <v>2175</v>
      </c>
      <c r="I17" s="10" t="s">
        <v>8</v>
      </c>
      <c r="J17" s="27">
        <f t="shared" si="2"/>
        <v>2365.3125</v>
      </c>
      <c r="K17" s="10" t="s">
        <v>8</v>
      </c>
      <c r="L17" s="27">
        <f t="shared" si="3"/>
        <v>2572.277344</v>
      </c>
      <c r="M17" s="10" t="s">
        <v>8</v>
      </c>
      <c r="N17" s="27">
        <f t="shared" si="4"/>
        <v>2797.351611</v>
      </c>
      <c r="O17" s="10" t="s">
        <v>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 t="s">
        <v>25</v>
      </c>
      <c r="C18" s="21" t="s">
        <v>11</v>
      </c>
      <c r="D18" s="29">
        <v>-10000.0</v>
      </c>
      <c r="E18" s="22" t="s">
        <v>8</v>
      </c>
      <c r="F18" s="30">
        <v>0.0</v>
      </c>
      <c r="G18" s="22" t="s">
        <v>8</v>
      </c>
      <c r="H18" s="23">
        <v>0.0</v>
      </c>
      <c r="I18" s="22" t="s">
        <v>8</v>
      </c>
      <c r="J18" s="23">
        <v>0.0</v>
      </c>
      <c r="K18" s="22" t="s">
        <v>8</v>
      </c>
      <c r="L18" s="23">
        <v>0.0</v>
      </c>
      <c r="M18" s="22" t="s">
        <v>8</v>
      </c>
      <c r="N18" s="23">
        <v>0.0</v>
      </c>
      <c r="O18" s="22" t="s">
        <v>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4" t="s">
        <v>26</v>
      </c>
      <c r="C19" s="25" t="s">
        <v>19</v>
      </c>
      <c r="D19" s="31">
        <v>-10000.0</v>
      </c>
      <c r="E19" s="15" t="s">
        <v>8</v>
      </c>
      <c r="F19" s="26">
        <v>212298.34197887</v>
      </c>
      <c r="G19" s="10" t="s">
        <v>8</v>
      </c>
      <c r="H19" s="27">
        <f>F19*1.0875</f>
        <v>230874.4469</v>
      </c>
      <c r="I19" s="10" t="s">
        <v>8</v>
      </c>
      <c r="J19" s="27">
        <f>H19*1.0875</f>
        <v>251075.961</v>
      </c>
      <c r="K19" s="10" t="s">
        <v>8</v>
      </c>
      <c r="L19" s="27">
        <f>J19*1.0875</f>
        <v>273045.1076</v>
      </c>
      <c r="M19" s="10" t="s">
        <v>8</v>
      </c>
      <c r="N19" s="27">
        <f>L19*1.0875</f>
        <v>296936.5545</v>
      </c>
      <c r="O19" s="10" t="s">
        <v>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2"/>
      <c r="D20" s="1"/>
      <c r="E20" s="1"/>
      <c r="F20" s="1"/>
      <c r="G20" s="1"/>
      <c r="H20" s="10">
        <v>2.0</v>
      </c>
      <c r="I20" s="1"/>
      <c r="J20" s="10">
        <v>3.0</v>
      </c>
      <c r="K20" s="1"/>
      <c r="L20" s="10">
        <v>4.0</v>
      </c>
      <c r="M20" s="1"/>
      <c r="N20" s="10">
        <v>5.0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2" t="s">
        <v>27</v>
      </c>
      <c r="C21" s="33"/>
      <c r="D21" s="34">
        <f>D19</f>
        <v>-10000</v>
      </c>
      <c r="E21" s="35"/>
      <c r="F21" s="34">
        <f>F19/1.2</f>
        <v>176915.285</v>
      </c>
      <c r="G21" s="35"/>
      <c r="H21" s="36">
        <f>H19/(1.2^H20)</f>
        <v>160329.477</v>
      </c>
      <c r="I21" s="35"/>
      <c r="J21" s="36">
        <f>J19/(1.2^J20)</f>
        <v>145298.5885</v>
      </c>
      <c r="K21" s="35"/>
      <c r="L21" s="36">
        <f>L19/(1.2^L20)</f>
        <v>131676.8459</v>
      </c>
      <c r="M21" s="35"/>
      <c r="N21" s="36">
        <f>N19/(1.2^N20)</f>
        <v>119332.1416</v>
      </c>
      <c r="O21" s="3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2"/>
      <c r="D23" s="38" t="s">
        <v>27</v>
      </c>
      <c r="E23" s="39"/>
      <c r="F23" s="40">
        <f>D21+F21+H21+J21+L21+N21</f>
        <v>723552.338</v>
      </c>
      <c r="G23" s="3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